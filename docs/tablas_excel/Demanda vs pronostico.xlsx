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88CAD3EC5681F4/Documents/Trabajos olga/tablas/"/>
    </mc:Choice>
  </mc:AlternateContent>
  <xr:revisionPtr revIDLastSave="0" documentId="8_{52041532-5D66-4978-9CBC-351A5C08CAA3}" xr6:coauthVersionLast="47" xr6:coauthVersionMax="47" xr10:uidLastSave="{00000000-0000-0000-0000-000000000000}"/>
  <bookViews>
    <workbookView xWindow="-120" yWindow="-120" windowWidth="29040" windowHeight="15720" xr2:uid="{B53BE4AA-EAF8-4B1F-BDAF-9CA85AE4C3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D11" i="1"/>
  <c r="G11" i="1"/>
  <c r="E11" i="1"/>
  <c r="C10" i="1"/>
  <c r="C5" i="1"/>
  <c r="B11" i="1"/>
  <c r="D8" i="1"/>
  <c r="D9" i="1"/>
  <c r="D7" i="1"/>
  <c r="D6" i="1"/>
  <c r="C9" i="1"/>
  <c r="C8" i="1"/>
  <c r="C7" i="1"/>
  <c r="C6" i="1"/>
  <c r="D5" i="1" l="1"/>
</calcChain>
</file>

<file path=xl/sharedStrings.xml><?xml version="1.0" encoding="utf-8"?>
<sst xmlns="http://schemas.openxmlformats.org/spreadsheetml/2006/main" count="18" uniqueCount="18">
  <si>
    <r>
      <t>Mes (</t>
    </r>
    <r>
      <rPr>
        <sz val="11"/>
        <color theme="1"/>
        <rFont val="Arial"/>
        <family val="2"/>
      </rPr>
      <t>t)</t>
    </r>
  </si>
  <si>
    <t>Demanda (Dt)</t>
  </si>
  <si>
    <t>Pronóstico (Pt)</t>
  </si>
  <si>
    <t>Error Absoluto |Dt - Pt|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</si>
  <si>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</si>
  <si>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</si>
  <si>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</si>
  <si>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</si>
  <si>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</si>
  <si>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</si>
  <si>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</si>
  <si>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</si>
  <si>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Error Cuadrático    (Dt - Pt)^2</t>
  </si>
  <si>
    <t>PROMEDIO</t>
  </si>
  <si>
    <t>MSE</t>
  </si>
  <si>
    <t>MAD</t>
  </si>
  <si>
    <t>Promedio Móvil (k=3)</t>
  </si>
  <si>
    <t>Regresión Lineal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</si>
</sst>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wrapText="1"/>
    </xf>
    <xf numFmtId="1" fontId="0" fillId="0" borderId="1" xfId="0" applyNumberFormat="1" applyBorder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400" b="0" i="0" u="none" strike="noStrike" baseline="0"/>
              <a:t>Comportamiento de la Demanda vs. Pronóstico Promedio Móvil (k=3) - Aceite Primor 1L</a:t>
            </a:r>
            <a:endParaRPr lang="es-PE"/>
          </a:p>
        </c:rich>
      </c:tx>
      <c:layout>
        <c:manualLayout>
          <c:xMode val="edge"/>
          <c:yMode val="edge"/>
          <c:x val="0.1276944444444444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>
        <c:manualLayout>
          <c:layoutTarget val="inner"/>
          <c:xMode val="edge"/>
          <c:yMode val="edge"/>
          <c:x val="9.6247594050743651E-2"/>
          <c:y val="0.19209499854184894"/>
          <c:w val="0.86486351706036746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Demanda (Dt)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Hoja1!$A$2:$A$9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Hoja1!$B$2:$B$9</c:f>
              <c:numCache>
                <c:formatCode>0</c:formatCode>
                <c:ptCount val="8"/>
                <c:pt idx="0">
                  <c:v>12000</c:v>
                </c:pt>
                <c:pt idx="1">
                  <c:v>12500</c:v>
                </c:pt>
                <c:pt idx="2">
                  <c:v>13200</c:v>
                </c:pt>
                <c:pt idx="3">
                  <c:v>13800</c:v>
                </c:pt>
                <c:pt idx="4">
                  <c:v>14200</c:v>
                </c:pt>
                <c:pt idx="5">
                  <c:v>15000</c:v>
                </c:pt>
                <c:pt idx="6">
                  <c:v>15500</c:v>
                </c:pt>
                <c:pt idx="7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F-4D01-BBA3-74BC8D26582A}"/>
            </c:ext>
          </c:extLst>
        </c:ser>
        <c:ser>
          <c:idx val="1"/>
          <c:order val="1"/>
          <c:tx>
            <c:strRef>
              <c:f>Hoja1!$C$1</c:f>
              <c:strCache>
                <c:ptCount val="1"/>
                <c:pt idx="0">
                  <c:v>Pronóstico (Pt)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Hoja1!$A$2:$A$9</c:f>
              <c:strCache>
                <c:ptCount val="8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</c:strCache>
            </c:strRef>
          </c:cat>
          <c:val>
            <c:numRef>
              <c:f>Hoja1!$C$2:$C$9</c:f>
              <c:numCache>
                <c:formatCode>General</c:formatCode>
                <c:ptCount val="8"/>
                <c:pt idx="3" formatCode="0">
                  <c:v>12566.666666666666</c:v>
                </c:pt>
                <c:pt idx="4" formatCode="0">
                  <c:v>13166.666666666666</c:v>
                </c:pt>
                <c:pt idx="5" formatCode="0">
                  <c:v>13733.333333333334</c:v>
                </c:pt>
                <c:pt idx="6" formatCode="0">
                  <c:v>14333.333333333334</c:v>
                </c:pt>
                <c:pt idx="7" formatCode="0">
                  <c:v>14900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AF-4D01-BBA3-74BC8D265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2294784"/>
        <c:axId val="1002292864"/>
      </c:lineChart>
      <c:catAx>
        <c:axId val="100229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2292864"/>
        <c:crosses val="autoZero"/>
        <c:auto val="1"/>
        <c:lblAlgn val="ctr"/>
        <c:lblOffset val="100"/>
        <c:noMultiLvlLbl val="0"/>
      </c:catAx>
      <c:valAx>
        <c:axId val="100229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2294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b="1" i="0">
                <a:effectLst/>
              </a:rPr>
              <a:t>Comparativa del Indicador de Error (MAD)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8470-4C74-81ED-A9366625E205}"/>
              </c:ext>
            </c:extLst>
          </c:dPt>
          <c:cat>
            <c:strRef>
              <c:f>Hoja1!$G$10:$H$10</c:f>
              <c:strCache>
                <c:ptCount val="2"/>
                <c:pt idx="0">
                  <c:v>Regresión Lineal</c:v>
                </c:pt>
                <c:pt idx="1">
                  <c:v>Promedio Móvil (k=3)</c:v>
                </c:pt>
              </c:strCache>
            </c:strRef>
          </c:cat>
          <c:val>
            <c:numRef>
              <c:f>Hoja1!$G$11:$H$11</c:f>
              <c:numCache>
                <c:formatCode>0</c:formatCode>
                <c:ptCount val="2"/>
                <c:pt idx="0" formatCode="0.00">
                  <c:v>0</c:v>
                </c:pt>
                <c:pt idx="1">
                  <c:v>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70-4C74-81ED-A9366625E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8"/>
        <c:shape val="box"/>
        <c:axId val="1159638144"/>
        <c:axId val="1159654944"/>
        <c:axId val="0"/>
      </c:bar3DChart>
      <c:catAx>
        <c:axId val="115963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59654944"/>
        <c:crosses val="autoZero"/>
        <c:auto val="1"/>
        <c:lblAlgn val="ctr"/>
        <c:lblOffset val="100"/>
        <c:noMultiLvlLbl val="0"/>
      </c:catAx>
      <c:valAx>
        <c:axId val="115965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5963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12</xdr:row>
      <xdr:rowOff>185737</xdr:rowOff>
    </xdr:from>
    <xdr:to>
      <xdr:col>4</xdr:col>
      <xdr:colOff>962025</xdr:colOff>
      <xdr:row>27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C88587A-1B0D-C63D-5257-7F1AC936D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517662</xdr:colOff>
      <xdr:row>14</xdr:row>
      <xdr:rowOff>94422</xdr:rowOff>
    </xdr:from>
    <xdr:to>
      <xdr:col>9</xdr:col>
      <xdr:colOff>314739</xdr:colOff>
      <xdr:row>26</xdr:row>
      <xdr:rowOff>91109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A07273C-0380-CA89-BD26-85D9AFDF5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D66F-45A0-4517-95CA-C68E5EC5A988}">
  <dimension ref="A1:H14"/>
  <sheetViews>
    <sheetView tabSelected="1" zoomScale="115" zoomScaleNormal="115" workbookViewId="0">
      <selection activeCell="K30" sqref="A1:K30"/>
    </sheetView>
  </sheetViews>
  <sheetFormatPr baseColWidth="10" defaultRowHeight="15" x14ac:dyDescent="0.25"/>
  <cols>
    <col min="1" max="1" width="11.28515625" customWidth="1"/>
    <col min="2" max="2" width="13.85546875" customWidth="1"/>
    <col min="3" max="3" width="14" customWidth="1"/>
    <col min="4" max="4" width="20.85546875" customWidth="1"/>
    <col min="5" max="5" width="18.7109375" customWidth="1"/>
    <col min="7" max="7" width="14.28515625" customWidth="1"/>
    <col min="8" max="8" width="22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12</v>
      </c>
    </row>
    <row r="2" spans="1:8" x14ac:dyDescent="0.25">
      <c r="A2" s="4" t="s">
        <v>4</v>
      </c>
      <c r="B2" s="6">
        <v>12000</v>
      </c>
      <c r="C2" s="4"/>
      <c r="D2" s="4"/>
      <c r="E2" s="4"/>
    </row>
    <row r="3" spans="1:8" x14ac:dyDescent="0.25">
      <c r="A3" s="4" t="s">
        <v>5</v>
      </c>
      <c r="B3" s="6">
        <v>12500</v>
      </c>
      <c r="C3" s="4"/>
      <c r="D3" s="4"/>
      <c r="E3" s="4"/>
    </row>
    <row r="4" spans="1:8" x14ac:dyDescent="0.25">
      <c r="A4" s="4" t="s">
        <v>6</v>
      </c>
      <c r="B4" s="6">
        <v>13200</v>
      </c>
      <c r="C4" s="4"/>
      <c r="D4" s="4"/>
      <c r="E4" s="4"/>
    </row>
    <row r="5" spans="1:8" x14ac:dyDescent="0.25">
      <c r="A5" s="4" t="s">
        <v>7</v>
      </c>
      <c r="B5" s="6">
        <v>13800</v>
      </c>
      <c r="C5" s="6">
        <f t="shared" ref="C5:C10" si="0">AVERAGE(B2:B4)</f>
        <v>12566.666666666666</v>
      </c>
      <c r="D5" s="6">
        <f>ABS(B5-C5)</f>
        <v>1233.3333333333339</v>
      </c>
      <c r="E5" s="6">
        <v>1520289</v>
      </c>
      <c r="G5" s="2"/>
    </row>
    <row r="6" spans="1:8" x14ac:dyDescent="0.25">
      <c r="A6" s="4" t="s">
        <v>8</v>
      </c>
      <c r="B6" s="6">
        <v>14200</v>
      </c>
      <c r="C6" s="6">
        <f t="shared" si="0"/>
        <v>13166.666666666666</v>
      </c>
      <c r="D6" s="6">
        <f>ABS(B6-C6)</f>
        <v>1033.3333333333339</v>
      </c>
      <c r="E6" s="6">
        <v>1067089</v>
      </c>
    </row>
    <row r="7" spans="1:8" x14ac:dyDescent="0.25">
      <c r="A7" s="4" t="s">
        <v>9</v>
      </c>
      <c r="B7" s="6">
        <v>15000</v>
      </c>
      <c r="C7" s="6">
        <f t="shared" si="0"/>
        <v>13733.333333333334</v>
      </c>
      <c r="D7" s="6">
        <f>ABS(B7-C7)</f>
        <v>1266.6666666666661</v>
      </c>
      <c r="E7" s="6">
        <v>1605289</v>
      </c>
    </row>
    <row r="8" spans="1:8" x14ac:dyDescent="0.25">
      <c r="A8" s="4" t="s">
        <v>10</v>
      </c>
      <c r="B8" s="6">
        <v>15500</v>
      </c>
      <c r="C8" s="6">
        <f t="shared" si="0"/>
        <v>14333.333333333334</v>
      </c>
      <c r="D8" s="6">
        <f>ABS(B8-C8)</f>
        <v>1166.6666666666661</v>
      </c>
      <c r="E8" s="6">
        <v>1361889</v>
      </c>
    </row>
    <row r="9" spans="1:8" x14ac:dyDescent="0.25">
      <c r="A9" s="4" t="s">
        <v>11</v>
      </c>
      <c r="B9" s="6">
        <v>16000</v>
      </c>
      <c r="C9" s="6">
        <f t="shared" si="0"/>
        <v>14900</v>
      </c>
      <c r="D9" s="6">
        <f>ABS(B9-C9)</f>
        <v>1100</v>
      </c>
      <c r="E9" s="6">
        <v>1210000</v>
      </c>
    </row>
    <row r="10" spans="1:8" x14ac:dyDescent="0.25">
      <c r="B10" s="2"/>
      <c r="C10" s="7">
        <f t="shared" si="0"/>
        <v>15500</v>
      </c>
      <c r="E10" s="2"/>
      <c r="G10" t="s">
        <v>17</v>
      </c>
      <c r="H10" t="s">
        <v>16</v>
      </c>
    </row>
    <row r="11" spans="1:8" x14ac:dyDescent="0.25">
      <c r="A11" t="s">
        <v>13</v>
      </c>
      <c r="B11" s="2">
        <f>AVERAGE(B2:B10)</f>
        <v>14025</v>
      </c>
      <c r="D11" s="2">
        <f>AVERAGE(D5:D9)</f>
        <v>1160</v>
      </c>
      <c r="E11" s="2">
        <f>AVERAGE(E5:E9)</f>
        <v>1352911.2</v>
      </c>
      <c r="G11" s="1" t="e">
        <f>#REF!</f>
        <v>#REF!</v>
      </c>
      <c r="H11" s="2">
        <f>AVERAGE(D5:D9)</f>
        <v>1160</v>
      </c>
    </row>
    <row r="12" spans="1:8" x14ac:dyDescent="0.25">
      <c r="D12" s="3" t="s">
        <v>15</v>
      </c>
      <c r="E12" s="3" t="s">
        <v>14</v>
      </c>
      <c r="G12" s="3"/>
      <c r="H12" s="3"/>
    </row>
    <row r="13" spans="1:8" x14ac:dyDescent="0.25">
      <c r="D13" s="2"/>
    </row>
    <row r="14" spans="1:8" x14ac:dyDescent="0.25">
      <c r="E14" s="3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Nicolay Paul Collachagua Torres</dc:creator>
  <cp:lastModifiedBy>Nicolay Paul Collachagua Torres</cp:lastModifiedBy>
  <dcterms:created xsi:type="dcterms:W3CDTF">2026-05-27T02:32:38Z</dcterms:created>
  <dcterms:modified xsi:type="dcterms:W3CDTF">2026-06-27T08:47:48Z</dcterms:modified>
</cp:coreProperties>
</file>