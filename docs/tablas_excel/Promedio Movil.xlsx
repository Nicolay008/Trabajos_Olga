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8cad3ec5681f4/Documents/Trabajos olga/tablas/"/>
    </mc:Choice>
  </mc:AlternateContent>
  <xr:revisionPtr revIDLastSave="0" documentId="8_{C4CF0E33-6153-442B-A803-33FB658478F0}" xr6:coauthVersionLast="47" xr6:coauthVersionMax="47" xr10:uidLastSave="{00000000-0000-0000-0000-000000000000}"/>
  <bookViews>
    <workbookView xWindow="-120" yWindow="-120" windowWidth="29040" windowHeight="15720" xr2:uid="{4018585F-7E3C-4AC7-9A84-6AEB025D0289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B11" i="1"/>
  <c r="C10" i="1"/>
  <c r="C9" i="1"/>
  <c r="D9" i="1" s="1"/>
  <c r="D8" i="1"/>
  <c r="C8" i="1"/>
  <c r="C7" i="1"/>
  <c r="D7" i="1" s="1"/>
  <c r="D6" i="1"/>
  <c r="C6" i="1"/>
  <c r="C5" i="1"/>
  <c r="D5" i="1" s="1"/>
  <c r="D11" i="1" l="1"/>
</calcChain>
</file>

<file path=xl/sharedStrings.xml><?xml version="1.0" encoding="utf-8"?>
<sst xmlns="http://schemas.openxmlformats.org/spreadsheetml/2006/main" count="16" uniqueCount="16">
  <si>
    <r>
      <t>Mes (</t>
    </r>
    <r>
      <rPr>
        <sz val="11"/>
        <color theme="1"/>
        <rFont val="Arial"/>
        <family val="2"/>
      </rPr>
      <t>t)</t>
    </r>
  </si>
  <si>
    <t>Demanda (Dt)</t>
  </si>
  <si>
    <t>Pronóstico (Pt)</t>
  </si>
  <si>
    <t>Error Absoluto |Dt - Pt|</t>
  </si>
  <si>
    <t>Error Cuadrático    (Dt - Pt)^2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</si>
  <si>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</si>
  <si>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</si>
  <si>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</si>
  <si>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</si>
  <si>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</si>
  <si>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</si>
  <si>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</si>
  <si>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</si>
  <si>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PROMEDIO</t>
  </si>
  <si>
    <t>MAD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</si>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</sst>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1" fontId="0" fillId="0" borderId="0" xfId="0" applyNumberFormat="1"/>
    <xf numFmtId="1" fontId="0" fillId="2" borderId="0" xfId="0" applyNumberForma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Comportamiento de la Demanda vs. Pronóstico Promedio Móvil (k=3) - Aceite Primor 1L</a:t>
            </a:r>
            <a:endParaRPr lang="es-PE"/>
          </a:p>
        </c:rich>
      </c:tx>
      <c:layout>
        <c:manualLayout>
          <c:xMode val="edge"/>
          <c:yMode val="edge"/>
          <c:x val="0.127694444444444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6247594050743651E-2"/>
          <c:y val="0.19209499854184894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'[1]Hoja1 (2)'!$B$1</c:f>
              <c:strCache>
                <c:ptCount val="1"/>
                <c:pt idx="0">
                  <c:v>Demanda (Dt)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'[1]Hoja1 (2)'!$A$2:$A$9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'[1]Hoja1 (2)'!$B$2:$B$9</c:f>
              <c:numCache>
                <c:formatCode>0</c:formatCode>
                <c:ptCount val="8"/>
                <c:pt idx="0">
                  <c:v>12000</c:v>
                </c:pt>
                <c:pt idx="1">
                  <c:v>12500</c:v>
                </c:pt>
                <c:pt idx="2">
                  <c:v>13200</c:v>
                </c:pt>
                <c:pt idx="3">
                  <c:v>13800</c:v>
                </c:pt>
                <c:pt idx="4">
                  <c:v>14200</c:v>
                </c:pt>
                <c:pt idx="5">
                  <c:v>15000</c:v>
                </c:pt>
                <c:pt idx="6">
                  <c:v>15500</c:v>
                </c:pt>
                <c:pt idx="7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8-4948-89D7-B1252B6C1B74}"/>
            </c:ext>
          </c:extLst>
        </c:ser>
        <c:ser>
          <c:idx val="1"/>
          <c:order val="1"/>
          <c:tx>
            <c:strRef>
              <c:f>'[1]Hoja1 (2)'!$C$1</c:f>
              <c:strCache>
                <c:ptCount val="1"/>
                <c:pt idx="0">
                  <c:v>Pronóstico (Pt)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'[1]Hoja1 (2)'!$A$2:$A$9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'[1]Hoja1 (2)'!$C$2:$C$9</c:f>
              <c:numCache>
                <c:formatCode>General</c:formatCode>
                <c:ptCount val="8"/>
                <c:pt idx="3" formatCode="0">
                  <c:v>12566.666666666666</c:v>
                </c:pt>
                <c:pt idx="4" formatCode="0">
                  <c:v>13166.666666666666</c:v>
                </c:pt>
                <c:pt idx="5" formatCode="0">
                  <c:v>13733.333333333334</c:v>
                </c:pt>
                <c:pt idx="6" formatCode="0">
                  <c:v>14333.333333333334</c:v>
                </c:pt>
                <c:pt idx="7" formatCode="0">
                  <c:v>14900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8-4948-89D7-B1252B6C1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294784"/>
        <c:axId val="1002292864"/>
      </c:lineChart>
      <c:catAx>
        <c:axId val="10022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92864"/>
        <c:crosses val="autoZero"/>
        <c:auto val="1"/>
        <c:lblAlgn val="ctr"/>
        <c:lblOffset val="100"/>
        <c:noMultiLvlLbl val="0"/>
      </c:catAx>
      <c:valAx>
        <c:axId val="10022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16</xdr:row>
      <xdr:rowOff>33337</xdr:rowOff>
    </xdr:from>
    <xdr:to>
      <xdr:col>4</xdr:col>
      <xdr:colOff>1000125</xdr:colOff>
      <xdr:row>30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C86F09-B036-4959-8AF5-809A252D9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abla%203.xlsx" TargetMode="External"/><Relationship Id="rId2" Type="http://schemas.openxmlformats.org/officeDocument/2006/relationships/externalLinkPath" Target="https://d.docs.live.net/6E88CAD3EC5681F4/Documents/Trabajos%20olga/tabla%203.xlsx" TargetMode="External"/><Relationship Id="rId1" Type="http://schemas.openxmlformats.org/officeDocument/2006/relationships/externalLinkPath" Target="/6E88CAD3EC5681F4/Documents/Trabajos%20olga/tabla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 (2)"/>
      <sheetName val="Hoja3"/>
      <sheetName val="Hoja1"/>
    </sheetNames>
    <sheetDataSet>
      <sheetData sheetId="0">
        <row r="1">
          <cell r="B1" t="str">
            <v>Demanda (Dt)</v>
          </cell>
          <cell r="C1" t="str">
            <v>Pronóstico (Pt)</v>
          </cell>
        </row>
        <row r="2">
          <cell r="A2" t="str">
            <v>Enero</v>
          </cell>
          <cell r="B2">
            <v>12000</v>
          </cell>
        </row>
        <row r="3">
          <cell r="A3" t="str">
            <v>Febrero</v>
          </cell>
          <cell r="B3">
            <v>12500</v>
          </cell>
        </row>
        <row r="4">
          <cell r="A4" t="str">
            <v>Marzo</v>
          </cell>
          <cell r="B4">
            <v>13200</v>
          </cell>
        </row>
        <row r="5">
          <cell r="A5" t="str">
            <v>Abril</v>
          </cell>
          <cell r="B5">
            <v>13800</v>
          </cell>
          <cell r="C5">
            <v>12566.666666666666</v>
          </cell>
        </row>
        <row r="6">
          <cell r="A6" t="str">
            <v>Mayo</v>
          </cell>
          <cell r="B6">
            <v>14200</v>
          </cell>
          <cell r="C6">
            <v>13166.666666666666</v>
          </cell>
        </row>
        <row r="7">
          <cell r="A7" t="str">
            <v>Junio</v>
          </cell>
          <cell r="B7">
            <v>15000</v>
          </cell>
          <cell r="C7">
            <v>13733.333333333334</v>
          </cell>
        </row>
        <row r="8">
          <cell r="A8" t="str">
            <v>Julio</v>
          </cell>
          <cell r="B8">
            <v>15500</v>
          </cell>
          <cell r="C8">
            <v>14333.333333333334</v>
          </cell>
        </row>
        <row r="9">
          <cell r="A9" t="str">
            <v>Agosto</v>
          </cell>
          <cell r="B9">
            <v>16000</v>
          </cell>
          <cell r="C9">
            <v>14900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9039-1B8E-4BD7-BB11-2CFB442DE7B4}">
  <dimension ref="A1:E14"/>
  <sheetViews>
    <sheetView tabSelected="1" workbookViewId="0">
      <selection activeCell="I14" sqref="I14"/>
    </sheetView>
  </sheetViews>
  <sheetFormatPr baseColWidth="10" defaultRowHeight="15" x14ac:dyDescent="0.25"/>
  <cols>
    <col min="3" max="3" width="18.1406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" t="s">
        <v>5</v>
      </c>
      <c r="B2" s="3">
        <v>12000</v>
      </c>
      <c r="C2" s="1"/>
      <c r="D2" s="1"/>
      <c r="E2" s="1"/>
    </row>
    <row r="3" spans="1:5" x14ac:dyDescent="0.25">
      <c r="A3" s="1" t="s">
        <v>6</v>
      </c>
      <c r="B3" s="3">
        <v>12500</v>
      </c>
      <c r="C3" s="1"/>
      <c r="D3" s="1"/>
      <c r="E3" s="1"/>
    </row>
    <row r="4" spans="1:5" x14ac:dyDescent="0.25">
      <c r="A4" s="1" t="s">
        <v>7</v>
      </c>
      <c r="B4" s="3">
        <v>13200</v>
      </c>
      <c r="C4" s="1"/>
      <c r="D4" s="1"/>
      <c r="E4" s="1"/>
    </row>
    <row r="5" spans="1:5" x14ac:dyDescent="0.25">
      <c r="A5" s="1" t="s">
        <v>8</v>
      </c>
      <c r="B5" s="3">
        <v>13800</v>
      </c>
      <c r="C5" s="3">
        <f t="shared" ref="C5:C10" si="0">AVERAGE(B2:B4)</f>
        <v>12566.666666666666</v>
      </c>
      <c r="D5" s="3">
        <f>ABS(B5-C5)</f>
        <v>1233.3333333333339</v>
      </c>
      <c r="E5" s="3">
        <v>1520289</v>
      </c>
    </row>
    <row r="6" spans="1:5" x14ac:dyDescent="0.25">
      <c r="A6" s="1" t="s">
        <v>9</v>
      </c>
      <c r="B6" s="3">
        <v>14200</v>
      </c>
      <c r="C6" s="3">
        <f t="shared" si="0"/>
        <v>13166.666666666666</v>
      </c>
      <c r="D6" s="3">
        <f>ABS(B6-C6)</f>
        <v>1033.3333333333339</v>
      </c>
      <c r="E6" s="3">
        <v>1067089</v>
      </c>
    </row>
    <row r="7" spans="1:5" x14ac:dyDescent="0.25">
      <c r="A7" s="1" t="s">
        <v>10</v>
      </c>
      <c r="B7" s="3">
        <v>15000</v>
      </c>
      <c r="C7" s="3">
        <f t="shared" si="0"/>
        <v>13733.333333333334</v>
      </c>
      <c r="D7" s="3">
        <f>ABS(B7-C7)</f>
        <v>1266.6666666666661</v>
      </c>
      <c r="E7" s="3">
        <v>1605289</v>
      </c>
    </row>
    <row r="8" spans="1:5" x14ac:dyDescent="0.25">
      <c r="A8" s="1" t="s">
        <v>11</v>
      </c>
      <c r="B8" s="3">
        <v>15500</v>
      </c>
      <c r="C8" s="3">
        <f t="shared" si="0"/>
        <v>14333.333333333334</v>
      </c>
      <c r="D8" s="3">
        <f>ABS(B8-C8)</f>
        <v>1166.6666666666661</v>
      </c>
      <c r="E8" s="3">
        <v>1361889</v>
      </c>
    </row>
    <row r="9" spans="1:5" x14ac:dyDescent="0.25">
      <c r="A9" s="1" t="s">
        <v>12</v>
      </c>
      <c r="B9" s="3">
        <v>16000</v>
      </c>
      <c r="C9" s="3">
        <f t="shared" si="0"/>
        <v>14900</v>
      </c>
      <c r="D9" s="3">
        <f>ABS(B9-C9)</f>
        <v>1100</v>
      </c>
      <c r="E9" s="3">
        <v>1210000</v>
      </c>
    </row>
    <row r="10" spans="1:5" x14ac:dyDescent="0.25">
      <c r="B10" s="4"/>
      <c r="C10" s="5">
        <f t="shared" si="0"/>
        <v>15500</v>
      </c>
      <c r="E10" s="4"/>
    </row>
    <row r="11" spans="1:5" x14ac:dyDescent="0.25">
      <c r="A11" t="s">
        <v>13</v>
      </c>
      <c r="B11" s="4">
        <f>AVERAGE(B2:B10)</f>
        <v>14025</v>
      </c>
      <c r="C11" s="4"/>
      <c r="D11" s="4">
        <f>AVERAGE(D5:D9)</f>
        <v>1160</v>
      </c>
      <c r="E11" s="4">
        <f>AVERAGE(E5:E9)</f>
        <v>1352911.2</v>
      </c>
    </row>
    <row r="12" spans="1:5" x14ac:dyDescent="0.25">
      <c r="D12" s="6" t="s">
        <v>14</v>
      </c>
      <c r="E12" s="6" t="s">
        <v>15</v>
      </c>
    </row>
    <row r="13" spans="1:5" x14ac:dyDescent="0.25">
      <c r="D13" s="4"/>
    </row>
    <row r="14" spans="1:5" x14ac:dyDescent="0.25">
      <c r="E1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Nicolay Paul Collachagua Torres</dc:creator>
  <cp:lastModifiedBy>Nicolay Paul Collachagua Torres</cp:lastModifiedBy>
  <dcterms:created xsi:type="dcterms:W3CDTF">2026-06-27T08:44:50Z</dcterms:created>
  <dcterms:modified xsi:type="dcterms:W3CDTF">2026-06-27T08:46:37Z</dcterms:modified>
</cp:coreProperties>
</file>