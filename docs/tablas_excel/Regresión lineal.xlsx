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88cad3ec5681f4/Documents/Trabajos olga/tablas/"/>
    </mc:Choice>
  </mc:AlternateContent>
  <xr:revisionPtr revIDLastSave="1" documentId="8_{C7785D23-719C-44E1-B26B-B89F4A97E4FB}" xr6:coauthVersionLast="47" xr6:coauthVersionMax="47" xr10:uidLastSave="{F0C8214F-A778-46CF-B94B-C5847833ADE5}"/>
  <bookViews>
    <workbookView xWindow="-120" yWindow="-120" windowWidth="29040" windowHeight="15720" xr2:uid="{BF32F22C-E930-42E5-88D9-21F14BAEB735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1" i="1"/>
  <c r="C10" i="1"/>
  <c r="C9" i="1"/>
  <c r="D9" i="1" s="1"/>
  <c r="D8" i="1"/>
  <c r="C8" i="1"/>
  <c r="E8" i="1" s="1"/>
  <c r="C7" i="1"/>
  <c r="E7" i="1" s="1"/>
  <c r="C6" i="1"/>
  <c r="E6" i="1" s="1"/>
  <c r="E5" i="1"/>
  <c r="D5" i="1"/>
  <c r="C5" i="1"/>
  <c r="D4" i="1"/>
  <c r="C4" i="1"/>
  <c r="E4" i="1" s="1"/>
  <c r="C3" i="1"/>
  <c r="E3" i="1" s="1"/>
  <c r="E2" i="1"/>
  <c r="C2" i="1"/>
  <c r="D2" i="1" s="1"/>
  <c r="E9" i="1" l="1"/>
  <c r="E14" i="1" s="1"/>
  <c r="D3" i="1"/>
  <c r="D14" i="1" s="1"/>
  <c r="D7" i="1"/>
  <c r="D6" i="1"/>
</calcChain>
</file>

<file path=xl/sharedStrings.xml><?xml version="1.0" encoding="utf-8"?>
<sst xmlns="http://schemas.openxmlformats.org/spreadsheetml/2006/main" count="7" uniqueCount="7">
  <si>
    <t>Mes (X)</t>
  </si>
  <si>
    <t>(Demanda Real Y)</t>
  </si>
  <si>
    <t>(Pronóstico Y)</t>
  </si>
  <si>
    <t>(Err. Abs)</t>
  </si>
  <si>
    <t>(Err. Cuad)</t>
  </si>
  <si>
    <t>MAD</t>
  </si>
  <si>
    <t>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</si>
</sst>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2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2" fontId="1" fillId="2" borderId="1" xfId="0" applyNumberFormat="1" applyFont="1" applyFill="1" applyBorder="1" applyAlignment="1">
      <alignment horizontal="center" wrapText="1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Border="1"/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0" i="0" u="none" strike="noStrike" baseline="0"/>
              <a:t>Pronóstico de Demanda mediante Regresión Lineal</a:t>
            </a:r>
            <a:endParaRPr lang="es-PE"/>
          </a:p>
        </c:rich>
      </c:tx>
      <c:layout>
        <c:manualLayout>
          <c:xMode val="edge"/>
          <c:yMode val="edge"/>
          <c:x val="0.1410485564304461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[1]Hoja3!$B$1</c:f>
              <c:strCache>
                <c:ptCount val="1"/>
                <c:pt idx="0">
                  <c:v>(Demanda Real 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[1]Hoja3!$A$2:$A$12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[1]Hoja3!$B$2:$B$12</c:f>
              <c:numCache>
                <c:formatCode>General</c:formatCode>
                <c:ptCount val="11"/>
                <c:pt idx="0">
                  <c:v>12000</c:v>
                </c:pt>
                <c:pt idx="1">
                  <c:v>12500</c:v>
                </c:pt>
                <c:pt idx="2">
                  <c:v>13200</c:v>
                </c:pt>
                <c:pt idx="3">
                  <c:v>13800</c:v>
                </c:pt>
                <c:pt idx="4">
                  <c:v>14200</c:v>
                </c:pt>
                <c:pt idx="5">
                  <c:v>15000</c:v>
                </c:pt>
                <c:pt idx="6">
                  <c:v>15500</c:v>
                </c:pt>
                <c:pt idx="7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E-413C-88CF-5604C696AC5E}"/>
            </c:ext>
          </c:extLst>
        </c:ser>
        <c:ser>
          <c:idx val="1"/>
          <c:order val="1"/>
          <c:tx>
            <c:strRef>
              <c:f>[1]Hoja3!$C$1</c:f>
              <c:strCache>
                <c:ptCount val="1"/>
                <c:pt idx="0">
                  <c:v>(Pronóstico 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[1]Hoja3!$A$2:$A$12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[1]Hoja3!$C$2:$C$12</c:f>
              <c:numCache>
                <c:formatCode>General</c:formatCode>
                <c:ptCount val="11"/>
                <c:pt idx="0">
                  <c:v>11991.666666666668</c:v>
                </c:pt>
                <c:pt idx="1">
                  <c:v>12572.619047619048</c:v>
                </c:pt>
                <c:pt idx="2">
                  <c:v>13153.571428571429</c:v>
                </c:pt>
                <c:pt idx="3">
                  <c:v>13734.523809523809</c:v>
                </c:pt>
                <c:pt idx="4">
                  <c:v>14315.476190476191</c:v>
                </c:pt>
                <c:pt idx="5">
                  <c:v>14896.428571428572</c:v>
                </c:pt>
                <c:pt idx="6">
                  <c:v>15477.380952380954</c:v>
                </c:pt>
                <c:pt idx="7">
                  <c:v>16058.333333333334</c:v>
                </c:pt>
                <c:pt idx="8">
                  <c:v>16639.285714285714</c:v>
                </c:pt>
                <c:pt idx="9">
                  <c:v>17220.238095238095</c:v>
                </c:pt>
                <c:pt idx="10">
                  <c:v>17801.190476190477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DE-413C-88CF-5604C696A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263104"/>
        <c:axId val="1002265024"/>
      </c:lineChart>
      <c:catAx>
        <c:axId val="100226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2265024"/>
        <c:crosses val="autoZero"/>
        <c:auto val="1"/>
        <c:lblAlgn val="ctr"/>
        <c:lblOffset val="100"/>
        <c:noMultiLvlLbl val="0"/>
      </c:catAx>
      <c:valAx>
        <c:axId val="100226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226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500062</xdr:colOff>
      <xdr:row>15</xdr:row>
      <xdr:rowOff>157162</xdr:rowOff>
    </xdr:from>
    <xdr:to>
      <xdr:col>4</xdr:col>
      <xdr:colOff>995362</xdr:colOff>
      <xdr:row>30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F9D0BD-0156-48C4-BE93-40A9CCB05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rabajo%20ALICORP%20OLGA.xlsx" TargetMode="External"/><Relationship Id="rId2" Type="http://schemas.openxmlformats.org/officeDocument/2006/relationships/externalLinkPath" Target="https://d.docs.live.net/6E88CAD3EC5681F4/Documents/trabajo%20ALICORP%20OLGA.xlsx" TargetMode="External"/><Relationship Id="rId1" Type="http://schemas.openxmlformats.org/officeDocument/2006/relationships/externalLinkPath" Target="/6E88CAD3EC5681F4/Documents/trabajo%20ALICORP%20OL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 (2)"/>
      <sheetName val="Hoja3"/>
      <sheetName val="Hoja1"/>
    </sheetNames>
    <sheetDataSet>
      <sheetData sheetId="0"/>
      <sheetData sheetId="1">
        <row r="1">
          <cell r="B1" t="str">
            <v>(Demanda Real Y)</v>
          </cell>
          <cell r="C1" t="str">
            <v>(Pronóstico Y)</v>
          </cell>
        </row>
        <row r="2">
          <cell r="A2">
            <v>1</v>
          </cell>
          <cell r="B2">
            <v>12000</v>
          </cell>
          <cell r="C2">
            <v>11991.666666666668</v>
          </cell>
        </row>
        <row r="3">
          <cell r="A3">
            <v>2</v>
          </cell>
          <cell r="B3">
            <v>12500</v>
          </cell>
          <cell r="C3">
            <v>12572.619047619048</v>
          </cell>
        </row>
        <row r="4">
          <cell r="A4">
            <v>3</v>
          </cell>
          <cell r="B4">
            <v>13200</v>
          </cell>
          <cell r="C4">
            <v>13153.571428571429</v>
          </cell>
        </row>
        <row r="5">
          <cell r="A5">
            <v>4</v>
          </cell>
          <cell r="B5">
            <v>13800</v>
          </cell>
          <cell r="C5">
            <v>13734.523809523809</v>
          </cell>
        </row>
        <row r="6">
          <cell r="A6">
            <v>5</v>
          </cell>
          <cell r="B6">
            <v>14200</v>
          </cell>
          <cell r="C6">
            <v>14315.476190476191</v>
          </cell>
        </row>
        <row r="7">
          <cell r="A7">
            <v>6</v>
          </cell>
          <cell r="B7">
            <v>15000</v>
          </cell>
          <cell r="C7">
            <v>14896.428571428572</v>
          </cell>
        </row>
        <row r="8">
          <cell r="A8">
            <v>7</v>
          </cell>
          <cell r="B8">
            <v>15500</v>
          </cell>
          <cell r="C8">
            <v>15477.380952380954</v>
          </cell>
        </row>
        <row r="9">
          <cell r="A9">
            <v>8</v>
          </cell>
          <cell r="B9">
            <v>16000</v>
          </cell>
          <cell r="C9">
            <v>16058.333333333334</v>
          </cell>
        </row>
        <row r="10">
          <cell r="A10">
            <v>9</v>
          </cell>
          <cell r="C10">
            <v>16639.285714285714</v>
          </cell>
        </row>
        <row r="11">
          <cell r="A11">
            <v>10</v>
          </cell>
          <cell r="C11">
            <v>17220.238095238095</v>
          </cell>
        </row>
        <row r="12">
          <cell r="A12">
            <v>11</v>
          </cell>
          <cell r="C12">
            <v>17801.190476190477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BC7C-E510-4A69-9B65-BE15F6526BB9}">
  <dimension ref="A1:E15"/>
  <sheetViews>
    <sheetView tabSelected="1" workbookViewId="0">
      <selection activeCell="A15" sqref="A15"/>
    </sheetView>
  </sheetViews>
  <sheetFormatPr baseColWidth="10" defaultRowHeight="15" x14ac:dyDescent="0.25"/>
  <cols>
    <col min="1" max="1" width="16.5703125" customWidth="1"/>
    <col min="2" max="2" width="14.5703125" customWidth="1"/>
    <col min="3" max="3" width="15.5703125" customWidth="1"/>
    <col min="4" max="4" width="13.85546875" customWidth="1"/>
    <col min="5" max="5" width="14.5703125" customWidth="1"/>
  </cols>
  <sheetData>
    <row r="1" spans="1:5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2">
        <v>1</v>
      </c>
      <c r="B2" s="2">
        <v>12000</v>
      </c>
      <c r="C2" s="3">
        <f>_xlfn.FORECAST.LINEAR(A2, $B$2:$B$9, $A$2:$A$9)</f>
        <v>11991.666666666668</v>
      </c>
      <c r="D2" s="4">
        <f t="shared" ref="D2:D9" si="0">ABS(B2-C2)</f>
        <v>8.3333333333321207</v>
      </c>
      <c r="E2" s="4">
        <f t="shared" ref="E2:E9" si="1">(B2-C2)^2</f>
        <v>69.444444444424235</v>
      </c>
    </row>
    <row r="3" spans="1:5" ht="15.75" thickBot="1" x14ac:dyDescent="0.3">
      <c r="A3" s="2">
        <v>2</v>
      </c>
      <c r="B3" s="2">
        <v>12500</v>
      </c>
      <c r="C3" s="3">
        <f t="shared" ref="C3:C12" si="2">_xlfn.FORECAST.LINEAR(A3, $B$2:$B$9, $A$2:$A$9)</f>
        <v>12572.619047619048</v>
      </c>
      <c r="D3" s="4">
        <f t="shared" si="0"/>
        <v>72.619047619047706</v>
      </c>
      <c r="E3" s="4">
        <f t="shared" si="1"/>
        <v>5273.5260770975183</v>
      </c>
    </row>
    <row r="4" spans="1:5" ht="15.75" thickBot="1" x14ac:dyDescent="0.3">
      <c r="A4" s="2">
        <v>3</v>
      </c>
      <c r="B4" s="2">
        <v>13200</v>
      </c>
      <c r="C4" s="3">
        <f t="shared" si="2"/>
        <v>13153.571428571429</v>
      </c>
      <c r="D4" s="4">
        <f t="shared" si="0"/>
        <v>46.428571428570649</v>
      </c>
      <c r="E4" s="4">
        <f t="shared" si="1"/>
        <v>2155.6122448978867</v>
      </c>
    </row>
    <row r="5" spans="1:5" ht="15.75" thickBot="1" x14ac:dyDescent="0.3">
      <c r="A5" s="2">
        <v>4</v>
      </c>
      <c r="B5" s="2">
        <v>13800</v>
      </c>
      <c r="C5" s="3">
        <f t="shared" si="2"/>
        <v>13734.523809523809</v>
      </c>
      <c r="D5" s="4">
        <f t="shared" si="0"/>
        <v>65.476190476190823</v>
      </c>
      <c r="E5" s="4">
        <f t="shared" si="1"/>
        <v>4287.1315192744214</v>
      </c>
    </row>
    <row r="6" spans="1:5" ht="15.75" thickBot="1" x14ac:dyDescent="0.3">
      <c r="A6" s="2">
        <v>5</v>
      </c>
      <c r="B6" s="2">
        <v>14200</v>
      </c>
      <c r="C6" s="3">
        <f t="shared" si="2"/>
        <v>14315.476190476191</v>
      </c>
      <c r="D6" s="4">
        <f t="shared" si="0"/>
        <v>115.47619047619082</v>
      </c>
      <c r="E6" s="4">
        <f t="shared" si="1"/>
        <v>13334.750566893505</v>
      </c>
    </row>
    <row r="7" spans="1:5" ht="15.75" thickBot="1" x14ac:dyDescent="0.3">
      <c r="A7" s="2">
        <v>6</v>
      </c>
      <c r="B7" s="2">
        <v>15000</v>
      </c>
      <c r="C7" s="3">
        <f t="shared" si="2"/>
        <v>14896.428571428572</v>
      </c>
      <c r="D7" s="4">
        <f t="shared" si="0"/>
        <v>103.57142857142753</v>
      </c>
      <c r="E7" s="4">
        <f t="shared" si="1"/>
        <v>10727.040816326315</v>
      </c>
    </row>
    <row r="8" spans="1:5" ht="15.75" thickBot="1" x14ac:dyDescent="0.3">
      <c r="A8" s="2">
        <v>7</v>
      </c>
      <c r="B8" s="2">
        <v>15500</v>
      </c>
      <c r="C8" s="3">
        <f t="shared" si="2"/>
        <v>15477.380952380954</v>
      </c>
      <c r="D8" s="4">
        <f t="shared" si="0"/>
        <v>22.619047619045887</v>
      </c>
      <c r="E8" s="4">
        <f t="shared" si="1"/>
        <v>511.62131519266541</v>
      </c>
    </row>
    <row r="9" spans="1:5" ht="15.75" thickBot="1" x14ac:dyDescent="0.3">
      <c r="A9" s="2">
        <v>8</v>
      </c>
      <c r="B9" s="2">
        <v>16000</v>
      </c>
      <c r="C9" s="3">
        <f t="shared" si="2"/>
        <v>16058.333333333334</v>
      </c>
      <c r="D9" s="4">
        <f t="shared" si="0"/>
        <v>58.33333333333394</v>
      </c>
      <c r="E9" s="4">
        <f t="shared" si="1"/>
        <v>3402.7777777778483</v>
      </c>
    </row>
    <row r="10" spans="1:5" ht="15.75" thickBot="1" x14ac:dyDescent="0.3">
      <c r="A10" s="5">
        <v>9</v>
      </c>
      <c r="C10" s="6">
        <f t="shared" si="2"/>
        <v>16639.285714285714</v>
      </c>
    </row>
    <row r="11" spans="1:5" ht="15.75" thickBot="1" x14ac:dyDescent="0.3">
      <c r="A11" s="5">
        <v>10</v>
      </c>
      <c r="C11" s="6">
        <f t="shared" si="2"/>
        <v>17220.238095238095</v>
      </c>
    </row>
    <row r="12" spans="1:5" ht="15.75" thickBot="1" x14ac:dyDescent="0.3">
      <c r="A12" s="5">
        <v>11</v>
      </c>
      <c r="C12" s="6">
        <f t="shared" si="2"/>
        <v>17801.190476190477</v>
      </c>
    </row>
    <row r="14" spans="1:5" x14ac:dyDescent="0.25">
      <c r="A14" s="10"/>
      <c r="B14" s="11"/>
      <c r="D14" s="7">
        <f>AVERAGE(D2:D9)</f>
        <v>61.607142857142435</v>
      </c>
      <c r="E14" s="8">
        <f>AVERAGE(E2:E9)</f>
        <v>4970.2380952380727</v>
      </c>
    </row>
    <row r="15" spans="1:5" x14ac:dyDescent="0.25">
      <c r="A15" s="10"/>
      <c r="B15" s="11"/>
      <c r="D15" s="9" t="s">
        <v>5</v>
      </c>
      <c r="E15" s="9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Nicolay Paul Collachagua Torres</dc:creator>
  <cp:lastModifiedBy>Nicolay Paul Collachagua Torres</cp:lastModifiedBy>
  <dcterms:created xsi:type="dcterms:W3CDTF">2026-06-27T08:40:10Z</dcterms:created>
  <dcterms:modified xsi:type="dcterms:W3CDTF">2026-06-27T10:02:41Z</dcterms:modified>
</cp:coreProperties>
</file>